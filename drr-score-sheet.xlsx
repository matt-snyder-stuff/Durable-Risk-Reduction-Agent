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 your plan" sheetId="1" state="visible" r:id="rId3"/>
    <sheet name="Calibr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<sst xmlns="http://schemas.openxmlformats.org/spreadsheetml/2006/main" count="39" uniqueCount="30">
  <si>
    <t xml:space="preserve">Durable Risk Reduction (DRR v2) score sheet</t>
  </si>
  <si>
    <t xml:space="preserve">Blue cells are inputs (1 to 5). Score and band calculate on their own. Architecture signs off Reduction and Durability.</t>
  </si>
  <si>
    <t xml:space="preserve">H, your tooling refresh cycle in years:</t>
  </si>
  <si>
    <t xml:space="preserve">DRR = (Reduction × Durability) ÷ (Effort + H × (Debt + Cost))</t>
  </si>
  <si>
    <t xml:space="preserve">ID</t>
  </si>
  <si>
    <t xml:space="preserve">Task</t>
  </si>
  <si>
    <t xml:space="preserve">Reduction</t>
  </si>
  <si>
    <t xml:space="preserve">Durability</t>
  </si>
  <si>
    <t xml:space="preserve">Effort</t>
  </si>
  <si>
    <t xml:space="preserve">Debt</t>
  </si>
  <si>
    <t xml:space="preserve">Cost</t>
  </si>
  <si>
    <t xml:space="preserve">DRR score</t>
  </si>
  <si>
    <t xml:space="preserve">Band</t>
  </si>
  <si>
    <t xml:space="preserve">Rank</t>
  </si>
  <si>
    <t xml:space="preserve">Flags / notes</t>
  </si>
  <si>
    <t xml:space="preserve">Bands: Seawall above 1.50 · Durable 0.50 to 1.50 · Weak 0.15 to 0.50 · Sandcastle below 0.15. Scores are ordinal: read them in bands.</t>
  </si>
  <si>
    <t xml:space="preserve">Calibration check: run this before scoring real work</t>
  </si>
  <si>
    <t xml:space="preserve">Uses H from the 'Score your plan' tab. Expected values assume H = 3. If a project lands outside its expected band, check your inputs.</t>
  </si>
  <si>
    <t xml:space="preserve">Reference project</t>
  </si>
  <si>
    <t xml:space="preserve">Expected band</t>
  </si>
  <si>
    <t xml:space="preserve">Check</t>
  </si>
  <si>
    <t xml:space="preserve">Standing admin access to just-in-time elevation</t>
  </si>
  <si>
    <t xml:space="preserve">Seawall</t>
  </si>
  <si>
    <t xml:space="preserve">Microsegment the crown-jewel production estate</t>
  </si>
  <si>
    <t xml:space="preserve">Durable</t>
  </si>
  <si>
    <t xml:space="preserve">Close one standing open firewall rule</t>
  </si>
  <si>
    <t xml:space="preserve">East-west visibility platform, detection only</t>
  </si>
  <si>
    <t xml:space="preserve">Sandcastle</t>
  </si>
  <si>
    <t xml:space="preserve">One SIEM correlation rule, one technique</t>
  </si>
  <si>
    <t xml:space="preserve">Illustrative reference points, not measured results.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</si>
</sst>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F6C7B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F6C7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CE"/>
        <bgColor rgb="FFFFFFFF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442E"/>
      </font>
    </dxf>
    <dxf>
      <font>
        <name val="Arial"/>
        <charset val="1"/>
        <family val="0"/>
        <b val="1"/>
        <color rgb="FF8A96A3"/>
      </font>
    </dxf>
    <dxf>
      <font>
        <name val="Arial"/>
        <charset val="1"/>
        <family val="0"/>
        <b val="1"/>
        <color rgb="FF0E7C6B"/>
      </font>
    </dxf>
    <dxf>
      <font>
        <name val="Arial"/>
        <charset val="1"/>
        <family val="0"/>
        <b val="1"/>
        <color rgb="FFFA6B1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B"/>
      <rgbColor rgb="FFC0C0C0"/>
      <rgbColor rgb="FF808080"/>
      <rgbColor rgb="FF9999FF"/>
      <rgbColor rgb="FF993366"/>
      <rgbColor rgb="FFFFF4CE"/>
      <rgbColor rgb="FFCCFFFF"/>
      <rgbColor rgb="FF660066"/>
      <rgbColor rgb="FFFF8080"/>
      <rgbColor rgb="FF0066CC"/>
      <rgbColor rgb="FFD8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6B1E"/>
      <rgbColor rgb="FF5F6C7B"/>
      <rgbColor rgb="FF8A96A3"/>
      <rgbColor rgb="FF003366"/>
      <rgbColor rgb="FF339966"/>
      <rgbColor rgb="FF003300"/>
      <rgbColor rgb="FF333300"/>
      <rgbColor rgb="FFC044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4" min="3" style="0" width="11"/>
    <col collapsed="false" customWidth="true" hidden="false" outlineLevel="0" max="7" min="5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3</v>
      </c>
      <c r="D3" s="5" t="s">
        <v>3</v>
      </c>
    </row>
    <row r="5" customFormat="false" ht="26.85" hidden="false" customHeight="fals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</row>
    <row r="6" customFormat="false" ht="15" hidden="false" customHeight="false" outlineLevel="0" collapsed="false">
      <c r="A6" s="7"/>
      <c r="B6" s="7"/>
      <c r="C6" s="8"/>
      <c r="D6" s="8"/>
      <c r="E6" s="8"/>
      <c r="F6" s="8"/>
      <c r="G6" s="8"/>
      <c r="H6" s="9" t="str">
        <f aca="false">IF(COUNT(C6:G6)=5,(C6*D6)/(E6+$C$3*(F6+G6)),"")</f>
        <v/>
      </c>
      <c r="I6" s="10" t="str">
        <f aca="false">IF(H6="","",IF(H6&lt;0.15,"Sandcastle",IF(H6&lt;0.5,"Weak",IF(H6&lt;=1.5,"Durable","Seawall"))))</f>
        <v/>
      </c>
      <c r="J6" s="10" t="str">
        <f aca="false">IF(H6="","",RANK(H6,$H$6:$H$45,0))</f>
        <v/>
      </c>
      <c r="K6" s="11"/>
    </row>
    <row r="7" customFormat="false" ht="15" hidden="false" customHeight="false" outlineLevel="0" collapsed="false">
      <c r="A7" s="7"/>
      <c r="B7" s="7"/>
      <c r="C7" s="8"/>
      <c r="D7" s="8"/>
      <c r="E7" s="8"/>
      <c r="F7" s="8"/>
      <c r="G7" s="8"/>
      <c r="H7" s="9" t="str">
        <f aca="false">IF(COUNT(C7:G7)=5,(C7*D7)/(E7+$C$3*(F7+G7)),"")</f>
        <v/>
      </c>
      <c r="I7" s="10" t="str">
        <f aca="false">IF(H7="","",IF(H7&lt;0.15,"Sandcastle",IF(H7&lt;0.5,"Weak",IF(H7&lt;=1.5,"Durable","Seawall"))))</f>
        <v/>
      </c>
      <c r="J7" s="10" t="str">
        <f aca="false">IF(H7="","",RANK(H7,$H$6:$H$45,0))</f>
        <v/>
      </c>
      <c r="K7" s="11"/>
    </row>
    <row r="8" customFormat="false" ht="15" hidden="false" customHeight="false" outlineLevel="0" collapsed="false">
      <c r="A8" s="7"/>
      <c r="B8" s="7"/>
      <c r="C8" s="8"/>
      <c r="D8" s="8"/>
      <c r="E8" s="8"/>
      <c r="F8" s="8"/>
      <c r="G8" s="8"/>
      <c r="H8" s="9" t="str">
        <f aca="false">IF(COUNT(C8:G8)=5,(C8*D8)/(E8+$C$3*(F8+G8)),"")</f>
        <v/>
      </c>
      <c r="I8" s="10" t="str">
        <f aca="false">IF(H8="","",IF(H8&lt;0.15,"Sandcastle",IF(H8&lt;0.5,"Weak",IF(H8&lt;=1.5,"Durable","Seawall"))))</f>
        <v/>
      </c>
      <c r="J8" s="10" t="str">
        <f aca="false">IF(H8="","",RANK(H8,$H$6:$H$45,0))</f>
        <v/>
      </c>
      <c r="K8" s="11"/>
    </row>
    <row r="9" customFormat="false" ht="15" hidden="false" customHeight="false" outlineLevel="0" collapsed="false">
      <c r="A9" s="7"/>
      <c r="B9" s="7"/>
      <c r="C9" s="8"/>
      <c r="D9" s="8"/>
      <c r="E9" s="8"/>
      <c r="F9" s="8"/>
      <c r="G9" s="8"/>
      <c r="H9" s="9" t="str">
        <f aca="false">IF(COUNT(C9:G9)=5,(C9*D9)/(E9+$C$3*(F9+G9)),"")</f>
        <v/>
      </c>
      <c r="I9" s="10" t="str">
        <f aca="false">IF(H9="","",IF(H9&lt;0.15,"Sandcastle",IF(H9&lt;0.5,"Weak",IF(H9&lt;=1.5,"Durable","Seawall"))))</f>
        <v/>
      </c>
      <c r="J9" s="10" t="str">
        <f aca="false">IF(H9="","",RANK(H9,$H$6:$H$45,0))</f>
        <v/>
      </c>
      <c r="K9" s="11"/>
    </row>
    <row r="10" customFormat="false" ht="15" hidden="false" customHeight="false" outlineLevel="0" collapsed="false">
      <c r="A10" s="7"/>
      <c r="B10" s="7"/>
      <c r="C10" s="8"/>
      <c r="D10" s="8"/>
      <c r="E10" s="8"/>
      <c r="F10" s="8"/>
      <c r="G10" s="8"/>
      <c r="H10" s="9" t="str">
        <f aca="false">IF(COUNT(C10:G10)=5,(C10*D10)/(E10+$C$3*(F10+G10)),"")</f>
        <v/>
      </c>
      <c r="I10" s="10" t="str">
        <f aca="false">IF(H10="","",IF(H10&lt;0.15,"Sandcastle",IF(H10&lt;0.5,"Weak",IF(H10&lt;=1.5,"Durable","Seawall"))))</f>
        <v/>
      </c>
      <c r="J10" s="10" t="str">
        <f aca="false">IF(H10="","",RANK(H10,$H$6:$H$45,0))</f>
        <v/>
      </c>
      <c r="K10" s="11"/>
    </row>
    <row r="11" customFormat="false" ht="15" hidden="false" customHeight="false" outlineLevel="0" collapsed="false">
      <c r="A11" s="7"/>
      <c r="B11" s="7"/>
      <c r="C11" s="8"/>
      <c r="D11" s="8"/>
      <c r="E11" s="8"/>
      <c r="F11" s="8"/>
      <c r="G11" s="8"/>
      <c r="H11" s="9" t="str">
        <f aca="false">IF(COUNT(C11:G11)=5,(C11*D11)/(E11+$C$3*(F11+G11)),"")</f>
        <v/>
      </c>
      <c r="I11" s="10" t="str">
        <f aca="false">IF(H11="","",IF(H11&lt;0.15,"Sandcastle",IF(H11&lt;0.5,"Weak",IF(H11&lt;=1.5,"Durable","Seawall"))))</f>
        <v/>
      </c>
      <c r="J11" s="10" t="str">
        <f aca="false">IF(H11="","",RANK(H11,$H$6:$H$45,0))</f>
        <v/>
      </c>
      <c r="K11" s="11"/>
    </row>
    <row r="12" customFormat="false" ht="15" hidden="false" customHeight="false" outlineLevel="0" collapsed="false">
      <c r="A12" s="7"/>
      <c r="B12" s="7"/>
      <c r="C12" s="8"/>
      <c r="D12" s="8"/>
      <c r="E12" s="8"/>
      <c r="F12" s="8"/>
      <c r="G12" s="8"/>
      <c r="H12" s="9" t="str">
        <f aca="false">IF(COUNT(C12:G12)=5,(C12*D12)/(E12+$C$3*(F12+G12)),"")</f>
        <v/>
      </c>
      <c r="I12" s="10" t="str">
        <f aca="false">IF(H12="","",IF(H12&lt;0.15,"Sandcastle",IF(H12&lt;0.5,"Weak",IF(H12&lt;=1.5,"Durable","Seawall"))))</f>
        <v/>
      </c>
      <c r="J12" s="10" t="str">
        <f aca="false">IF(H12="","",RANK(H12,$H$6:$H$45,0))</f>
        <v/>
      </c>
      <c r="K12" s="11"/>
    </row>
    <row r="13" customFormat="false" ht="15" hidden="false" customHeight="false" outlineLevel="0" collapsed="false">
      <c r="A13" s="7"/>
      <c r="B13" s="7"/>
      <c r="C13" s="8"/>
      <c r="D13" s="8"/>
      <c r="E13" s="8"/>
      <c r="F13" s="8"/>
      <c r="G13" s="8"/>
      <c r="H13" s="9" t="str">
        <f aca="false">IF(COUNT(C13:G13)=5,(C13*D13)/(E13+$C$3*(F13+G13)),"")</f>
        <v/>
      </c>
      <c r="I13" s="10" t="str">
        <f aca="false">IF(H13="","",IF(H13&lt;0.15,"Sandcastle",IF(H13&lt;0.5,"Weak",IF(H13&lt;=1.5,"Durable","Seawall"))))</f>
        <v/>
      </c>
      <c r="J13" s="10" t="str">
        <f aca="false">IF(H13="","",RANK(H13,$H$6:$H$45,0))</f>
        <v/>
      </c>
      <c r="K13" s="11"/>
    </row>
    <row r="14" customFormat="false" ht="15" hidden="false" customHeight="false" outlineLevel="0" collapsed="false">
      <c r="A14" s="7"/>
      <c r="B14" s="7"/>
      <c r="C14" s="8"/>
      <c r="D14" s="8"/>
      <c r="E14" s="8"/>
      <c r="F14" s="8"/>
      <c r="G14" s="8"/>
      <c r="H14" s="9" t="str">
        <f aca="false">IF(COUNT(C14:G14)=5,(C14*D14)/(E14+$C$3*(F14+G14)),"")</f>
        <v/>
      </c>
      <c r="I14" s="10" t="str">
        <f aca="false">IF(H14="","",IF(H14&lt;0.15,"Sandcastle",IF(H14&lt;0.5,"Weak",IF(H14&lt;=1.5,"Durable","Seawall"))))</f>
        <v/>
      </c>
      <c r="J14" s="10" t="str">
        <f aca="false">IF(H14="","",RANK(H14,$H$6:$H$45,0))</f>
        <v/>
      </c>
      <c r="K14" s="11"/>
    </row>
    <row r="15" customFormat="false" ht="15" hidden="false" customHeight="false" outlineLevel="0" collapsed="false">
      <c r="A15" s="7"/>
      <c r="B15" s="7"/>
      <c r="C15" s="8"/>
      <c r="D15" s="8"/>
      <c r="E15" s="8"/>
      <c r="F15" s="8"/>
      <c r="G15" s="8"/>
      <c r="H15" s="9" t="str">
        <f aca="false">IF(COUNT(C15:G15)=5,(C15*D15)/(E15+$C$3*(F15+G15)),"")</f>
        <v/>
      </c>
      <c r="I15" s="10" t="str">
        <f aca="false">IF(H15="","",IF(H15&lt;0.15,"Sandcastle",IF(H15&lt;0.5,"Weak",IF(H15&lt;=1.5,"Durable","Seawall"))))</f>
        <v/>
      </c>
      <c r="J15" s="10" t="str">
        <f aca="false">IF(H15="","",RANK(H15,$H$6:$H$45,0))</f>
        <v/>
      </c>
      <c r="K15" s="11"/>
    </row>
    <row r="16" customFormat="false" ht="15" hidden="false" customHeight="false" outlineLevel="0" collapsed="false">
      <c r="A16" s="7"/>
      <c r="B16" s="7"/>
      <c r="C16" s="8"/>
      <c r="D16" s="8"/>
      <c r="E16" s="8"/>
      <c r="F16" s="8"/>
      <c r="G16" s="8"/>
      <c r="H16" s="9" t="str">
        <f aca="false">IF(COUNT(C16:G16)=5,(C16*D16)/(E16+$C$3*(F16+G16)),"")</f>
        <v/>
      </c>
      <c r="I16" s="10" t="str">
        <f aca="false">IF(H16="","",IF(H16&lt;0.15,"Sandcastle",IF(H16&lt;0.5,"Weak",IF(H16&lt;=1.5,"Durable","Seawall"))))</f>
        <v/>
      </c>
      <c r="J16" s="10" t="str">
        <f aca="false">IF(H16="","",RANK(H16,$H$6:$H$45,0))</f>
        <v/>
      </c>
      <c r="K16" s="11"/>
    </row>
    <row r="17" customFormat="false" ht="15" hidden="false" customHeight="false" outlineLevel="0" collapsed="false">
      <c r="A17" s="7"/>
      <c r="B17" s="7"/>
      <c r="C17" s="8"/>
      <c r="D17" s="8"/>
      <c r="E17" s="8"/>
      <c r="F17" s="8"/>
      <c r="G17" s="8"/>
      <c r="H17" s="9" t="str">
        <f aca="false">IF(COUNT(C17:G17)=5,(C17*D17)/(E17+$C$3*(F17+G17)),"")</f>
        <v/>
      </c>
      <c r="I17" s="10" t="str">
        <f aca="false">IF(H17="","",IF(H17&lt;0.15,"Sandcastle",IF(H17&lt;0.5,"Weak",IF(H17&lt;=1.5,"Durable","Seawall"))))</f>
        <v/>
      </c>
      <c r="J17" s="10" t="str">
        <f aca="false">IF(H17="","",RANK(H17,$H$6:$H$45,0))</f>
        <v/>
      </c>
      <c r="K17" s="11"/>
    </row>
    <row r="18" customFormat="false" ht="15" hidden="false" customHeight="false" outlineLevel="0" collapsed="false">
      <c r="A18" s="7"/>
      <c r="B18" s="7"/>
      <c r="C18" s="8"/>
      <c r="D18" s="8"/>
      <c r="E18" s="8"/>
      <c r="F18" s="8"/>
      <c r="G18" s="8"/>
      <c r="H18" s="9" t="str">
        <f aca="false">IF(COUNT(C18:G18)=5,(C18*D18)/(E18+$C$3*(F18+G18)),"")</f>
        <v/>
      </c>
      <c r="I18" s="10" t="str">
        <f aca="false">IF(H18="","",IF(H18&lt;0.15,"Sandcastle",IF(H18&lt;0.5,"Weak",IF(H18&lt;=1.5,"Durable","Seawall"))))</f>
        <v/>
      </c>
      <c r="J18" s="10" t="str">
        <f aca="false">IF(H18="","",RANK(H18,$H$6:$H$45,0))</f>
        <v/>
      </c>
      <c r="K18" s="11"/>
    </row>
    <row r="19" customFormat="false" ht="15" hidden="false" customHeight="false" outlineLevel="0" collapsed="false">
      <c r="A19" s="7"/>
      <c r="B19" s="7"/>
      <c r="C19" s="8"/>
      <c r="D19" s="8"/>
      <c r="E19" s="8"/>
      <c r="F19" s="8"/>
      <c r="G19" s="8"/>
      <c r="H19" s="9" t="str">
        <f aca="false">IF(COUNT(C19:G19)=5,(C19*D19)/(E19+$C$3*(F19+G19)),"")</f>
        <v/>
      </c>
      <c r="I19" s="10" t="str">
        <f aca="false">IF(H19="","",IF(H19&lt;0.15,"Sandcastle",IF(H19&lt;0.5,"Weak",IF(H19&lt;=1.5,"Durable","Seawall"))))</f>
        <v/>
      </c>
      <c r="J19" s="10" t="str">
        <f aca="false">IF(H19="","",RANK(H19,$H$6:$H$45,0))</f>
        <v/>
      </c>
      <c r="K19" s="11"/>
    </row>
    <row r="20" customFormat="false" ht="15" hidden="false" customHeight="false" outlineLevel="0" collapsed="false">
      <c r="A20" s="7"/>
      <c r="B20" s="7"/>
      <c r="C20" s="8"/>
      <c r="D20" s="8"/>
      <c r="E20" s="8"/>
      <c r="F20" s="8"/>
      <c r="G20" s="8"/>
      <c r="H20" s="9" t="str">
        <f aca="false">IF(COUNT(C20:G20)=5,(C20*D20)/(E20+$C$3*(F20+G20)),"")</f>
        <v/>
      </c>
      <c r="I20" s="10" t="str">
        <f aca="false">IF(H20="","",IF(H20&lt;0.15,"Sandcastle",IF(H20&lt;0.5,"Weak",IF(H20&lt;=1.5,"Durable","Seawall"))))</f>
        <v/>
      </c>
      <c r="J20" s="10" t="str">
        <f aca="false">IF(H20="","",RANK(H20,$H$6:$H$45,0))</f>
        <v/>
      </c>
      <c r="K20" s="11"/>
    </row>
    <row r="21" customFormat="false" ht="15" hidden="false" customHeight="false" outlineLevel="0" collapsed="false">
      <c r="A21" s="7"/>
      <c r="B21" s="7"/>
      <c r="C21" s="8"/>
      <c r="D21" s="8"/>
      <c r="E21" s="8"/>
      <c r="F21" s="8"/>
      <c r="G21" s="8"/>
      <c r="H21" s="9" t="str">
        <f aca="false">IF(COUNT(C21:G21)=5,(C21*D21)/(E21+$C$3*(F21+G21)),"")</f>
        <v/>
      </c>
      <c r="I21" s="10" t="str">
        <f aca="false">IF(H21="","",IF(H21&lt;0.15,"Sandcastle",IF(H21&lt;0.5,"Weak",IF(H21&lt;=1.5,"Durable","Seawall"))))</f>
        <v/>
      </c>
      <c r="J21" s="10" t="str">
        <f aca="false">IF(H21="","",RANK(H21,$H$6:$H$45,0))</f>
        <v/>
      </c>
      <c r="K21" s="11"/>
    </row>
    <row r="22" customFormat="false" ht="15" hidden="false" customHeight="false" outlineLevel="0" collapsed="false">
      <c r="A22" s="7"/>
      <c r="B22" s="7"/>
      <c r="C22" s="8"/>
      <c r="D22" s="8"/>
      <c r="E22" s="8"/>
      <c r="F22" s="8"/>
      <c r="G22" s="8"/>
      <c r="H22" s="9" t="str">
        <f aca="false">IF(COUNT(C22:G22)=5,(C22*D22)/(E22+$C$3*(F22+G22)),"")</f>
        <v/>
      </c>
      <c r="I22" s="10" t="str">
        <f aca="false">IF(H22="","",IF(H22&lt;0.15,"Sandcastle",IF(H22&lt;0.5,"Weak",IF(H22&lt;=1.5,"Durable","Seawall"))))</f>
        <v/>
      </c>
      <c r="J22" s="10" t="str">
        <f aca="false">IF(H22="","",RANK(H22,$H$6:$H$45,0))</f>
        <v/>
      </c>
      <c r="K22" s="11"/>
    </row>
    <row r="23" customFormat="false" ht="15" hidden="false" customHeight="false" outlineLevel="0" collapsed="false">
      <c r="A23" s="7"/>
      <c r="B23" s="7"/>
      <c r="C23" s="8"/>
      <c r="D23" s="8"/>
      <c r="E23" s="8"/>
      <c r="F23" s="8"/>
      <c r="G23" s="8"/>
      <c r="H23" s="9" t="str">
        <f aca="false">IF(COUNT(C23:G23)=5,(C23*D23)/(E23+$C$3*(F23+G23)),"")</f>
        <v/>
      </c>
      <c r="I23" s="10" t="str">
        <f aca="false">IF(H23="","",IF(H23&lt;0.15,"Sandcastle",IF(H23&lt;0.5,"Weak",IF(H23&lt;=1.5,"Durable","Seawall"))))</f>
        <v/>
      </c>
      <c r="J23" s="10" t="str">
        <f aca="false">IF(H23="","",RANK(H23,$H$6:$H$45,0))</f>
        <v/>
      </c>
      <c r="K23" s="11"/>
    </row>
    <row r="24" customFormat="false" ht="15" hidden="false" customHeight="false" outlineLevel="0" collapsed="false">
      <c r="A24" s="7"/>
      <c r="B24" s="7"/>
      <c r="C24" s="8"/>
      <c r="D24" s="8"/>
      <c r="E24" s="8"/>
      <c r="F24" s="8"/>
      <c r="G24" s="8"/>
      <c r="H24" s="9" t="str">
        <f aca="false">IF(COUNT(C24:G24)=5,(C24*D24)/(E24+$C$3*(F24+G24)),"")</f>
        <v/>
      </c>
      <c r="I24" s="10" t="str">
        <f aca="false">IF(H24="","",IF(H24&lt;0.15,"Sandcastle",IF(H24&lt;0.5,"Weak",IF(H24&lt;=1.5,"Durable","Seawall"))))</f>
        <v/>
      </c>
      <c r="J24" s="10" t="str">
        <f aca="false">IF(H24="","",RANK(H24,$H$6:$H$45,0))</f>
        <v/>
      </c>
      <c r="K24" s="11"/>
    </row>
    <row r="25" customFormat="false" ht="15" hidden="false" customHeight="false" outlineLevel="0" collapsed="false">
      <c r="A25" s="7"/>
      <c r="B25" s="7"/>
      <c r="C25" s="8"/>
      <c r="D25" s="8"/>
      <c r="E25" s="8"/>
      <c r="F25" s="8"/>
      <c r="G25" s="8"/>
      <c r="H25" s="9" t="str">
        <f aca="false">IF(COUNT(C25:G25)=5,(C25*D25)/(E25+$C$3*(F25+G25)),"")</f>
        <v/>
      </c>
      <c r="I25" s="10" t="str">
        <f aca="false">IF(H25="","",IF(H25&lt;0.15,"Sandcastle",IF(H25&lt;0.5,"Weak",IF(H25&lt;=1.5,"Durable","Seawall"))))</f>
        <v/>
      </c>
      <c r="J25" s="10" t="str">
        <f aca="false">IF(H25="","",RANK(H25,$H$6:$H$45,0))</f>
        <v/>
      </c>
      <c r="K25" s="11"/>
    </row>
    <row r="26" customFormat="false" ht="15" hidden="false" customHeight="false" outlineLevel="0" collapsed="false">
      <c r="A26" s="7"/>
      <c r="B26" s="7"/>
      <c r="C26" s="8"/>
      <c r="D26" s="8"/>
      <c r="E26" s="8"/>
      <c r="F26" s="8"/>
      <c r="G26" s="8"/>
      <c r="H26" s="9" t="str">
        <f aca="false">IF(COUNT(C26:G26)=5,(C26*D26)/(E26+$C$3*(F26+G26)),"")</f>
        <v/>
      </c>
      <c r="I26" s="10" t="str">
        <f aca="false">IF(H26="","",IF(H26&lt;0.15,"Sandcastle",IF(H26&lt;0.5,"Weak",IF(H26&lt;=1.5,"Durable","Seawall"))))</f>
        <v/>
      </c>
      <c r="J26" s="10" t="str">
        <f aca="false">IF(H26="","",RANK(H26,$H$6:$H$45,0))</f>
        <v/>
      </c>
      <c r="K26" s="11"/>
    </row>
    <row r="27" customFormat="false" ht="15" hidden="false" customHeight="false" outlineLevel="0" collapsed="false">
      <c r="A27" s="7"/>
      <c r="B27" s="7"/>
      <c r="C27" s="8"/>
      <c r="D27" s="8"/>
      <c r="E27" s="8"/>
      <c r="F27" s="8"/>
      <c r="G27" s="8"/>
      <c r="H27" s="9" t="str">
        <f aca="false">IF(COUNT(C27:G27)=5,(C27*D27)/(E27+$C$3*(F27+G27)),"")</f>
        <v/>
      </c>
      <c r="I27" s="10" t="str">
        <f aca="false">IF(H27="","",IF(H27&lt;0.15,"Sandcastle",IF(H27&lt;0.5,"Weak",IF(H27&lt;=1.5,"Durable","Seawall"))))</f>
        <v/>
      </c>
      <c r="J27" s="10" t="str">
        <f aca="false">IF(H27="","",RANK(H27,$H$6:$H$45,0))</f>
        <v/>
      </c>
      <c r="K27" s="11"/>
    </row>
    <row r="28" customFormat="false" ht="15" hidden="false" customHeight="false" outlineLevel="0" collapsed="false">
      <c r="A28" s="7"/>
      <c r="B28" s="7"/>
      <c r="C28" s="8"/>
      <c r="D28" s="8"/>
      <c r="E28" s="8"/>
      <c r="F28" s="8"/>
      <c r="G28" s="8"/>
      <c r="H28" s="9" t="str">
        <f aca="false">IF(COUNT(C28:G28)=5,(C28*D28)/(E28+$C$3*(F28+G28)),"")</f>
        <v/>
      </c>
      <c r="I28" s="10" t="str">
        <f aca="false">IF(H28="","",IF(H28&lt;0.15,"Sandcastle",IF(H28&lt;0.5,"Weak",IF(H28&lt;=1.5,"Durable","Seawall"))))</f>
        <v/>
      </c>
      <c r="J28" s="10" t="str">
        <f aca="false">IF(H28="","",RANK(H28,$H$6:$H$45,0))</f>
        <v/>
      </c>
      <c r="K28" s="11"/>
    </row>
    <row r="29" customFormat="false" ht="15" hidden="false" customHeight="false" outlineLevel="0" collapsed="false">
      <c r="A29" s="7"/>
      <c r="B29" s="7"/>
      <c r="C29" s="8"/>
      <c r="D29" s="8"/>
      <c r="E29" s="8"/>
      <c r="F29" s="8"/>
      <c r="G29" s="8"/>
      <c r="H29" s="9" t="str">
        <f aca="false">IF(COUNT(C29:G29)=5,(C29*D29)/(E29+$C$3*(F29+G29)),"")</f>
        <v/>
      </c>
      <c r="I29" s="10" t="str">
        <f aca="false">IF(H29="","",IF(H29&lt;0.15,"Sandcastle",IF(H29&lt;0.5,"Weak",IF(H29&lt;=1.5,"Durable","Seawall"))))</f>
        <v/>
      </c>
      <c r="J29" s="10" t="str">
        <f aca="false">IF(H29="","",RANK(H29,$H$6:$H$45,0))</f>
        <v/>
      </c>
      <c r="K29" s="11"/>
    </row>
    <row r="30" customFormat="false" ht="15" hidden="false" customHeight="false" outlineLevel="0" collapsed="false">
      <c r="A30" s="7"/>
      <c r="B30" s="7"/>
      <c r="C30" s="8"/>
      <c r="D30" s="8"/>
      <c r="E30" s="8"/>
      <c r="F30" s="8"/>
      <c r="G30" s="8"/>
      <c r="H30" s="9" t="str">
        <f aca="false">IF(COUNT(C30:G30)=5,(C30*D30)/(E30+$C$3*(F30+G30)),"")</f>
        <v/>
      </c>
      <c r="I30" s="10" t="str">
        <f aca="false">IF(H30="","",IF(H30&lt;0.15,"Sandcastle",IF(H30&lt;0.5,"Weak",IF(H30&lt;=1.5,"Durable","Seawall"))))</f>
        <v/>
      </c>
      <c r="J30" s="10" t="str">
        <f aca="false">IF(H30="","",RANK(H30,$H$6:$H$45,0))</f>
        <v/>
      </c>
      <c r="K30" s="11"/>
    </row>
    <row r="31" customFormat="false" ht="15" hidden="false" customHeight="false" outlineLevel="0" collapsed="false">
      <c r="A31" s="7"/>
      <c r="B31" s="7"/>
      <c r="C31" s="8"/>
      <c r="D31" s="8"/>
      <c r="E31" s="8"/>
      <c r="F31" s="8"/>
      <c r="G31" s="8"/>
      <c r="H31" s="9" t="str">
        <f aca="false">IF(COUNT(C31:G31)=5,(C31*D31)/(E31+$C$3*(F31+G31)),"")</f>
        <v/>
      </c>
      <c r="I31" s="10" t="str">
        <f aca="false">IF(H31="","",IF(H31&lt;0.15,"Sandcastle",IF(H31&lt;0.5,"Weak",IF(H31&lt;=1.5,"Durable","Seawall"))))</f>
        <v/>
      </c>
      <c r="J31" s="10" t="str">
        <f aca="false">IF(H31="","",RANK(H31,$H$6:$H$45,0))</f>
        <v/>
      </c>
      <c r="K31" s="11"/>
    </row>
    <row r="32" customFormat="false" ht="15" hidden="false" customHeight="false" outlineLevel="0" collapsed="false">
      <c r="A32" s="7"/>
      <c r="B32" s="7"/>
      <c r="C32" s="8"/>
      <c r="D32" s="8"/>
      <c r="E32" s="8"/>
      <c r="F32" s="8"/>
      <c r="G32" s="8"/>
      <c r="H32" s="9" t="str">
        <f aca="false">IF(COUNT(C32:G32)=5,(C32*D32)/(E32+$C$3*(F32+G32)),"")</f>
        <v/>
      </c>
      <c r="I32" s="10" t="str">
        <f aca="false">IF(H32="","",IF(H32&lt;0.15,"Sandcastle",IF(H32&lt;0.5,"Weak",IF(H32&lt;=1.5,"Durable","Seawall"))))</f>
        <v/>
      </c>
      <c r="J32" s="10" t="str">
        <f aca="false">IF(H32="","",RANK(H32,$H$6:$H$45,0))</f>
        <v/>
      </c>
      <c r="K32" s="11"/>
    </row>
    <row r="33" customFormat="false" ht="15" hidden="false" customHeight="false" outlineLevel="0" collapsed="false">
      <c r="A33" s="7"/>
      <c r="B33" s="7"/>
      <c r="C33" s="8"/>
      <c r="D33" s="8"/>
      <c r="E33" s="8"/>
      <c r="F33" s="8"/>
      <c r="G33" s="8"/>
      <c r="H33" s="9" t="str">
        <f aca="false">IF(COUNT(C33:G33)=5,(C33*D33)/(E33+$C$3*(F33+G33)),"")</f>
        <v/>
      </c>
      <c r="I33" s="10" t="str">
        <f aca="false">IF(H33="","",IF(H33&lt;0.15,"Sandcastle",IF(H33&lt;0.5,"Weak",IF(H33&lt;=1.5,"Durable","Seawall"))))</f>
        <v/>
      </c>
      <c r="J33" s="10" t="str">
        <f aca="false">IF(H33="","",RANK(H33,$H$6:$H$45,0))</f>
        <v/>
      </c>
      <c r="K33" s="11"/>
    </row>
    <row r="34" customFormat="false" ht="15" hidden="false" customHeight="false" outlineLevel="0" collapsed="false">
      <c r="A34" s="7"/>
      <c r="B34" s="7"/>
      <c r="C34" s="8"/>
      <c r="D34" s="8"/>
      <c r="E34" s="8"/>
      <c r="F34" s="8"/>
      <c r="G34" s="8"/>
      <c r="H34" s="9" t="str">
        <f aca="false">IF(COUNT(C34:G34)=5,(C34*D34)/(E34+$C$3*(F34+G34)),"")</f>
        <v/>
      </c>
      <c r="I34" s="10" t="str">
        <f aca="false">IF(H34="","",IF(H34&lt;0.15,"Sandcastle",IF(H34&lt;0.5,"Weak",IF(H34&lt;=1.5,"Durable","Seawall"))))</f>
        <v/>
      </c>
      <c r="J34" s="10" t="str">
        <f aca="false">IF(H34="","",RANK(H34,$H$6:$H$45,0))</f>
        <v/>
      </c>
      <c r="K34" s="11"/>
    </row>
    <row r="35" customFormat="false" ht="15" hidden="false" customHeight="false" outlineLevel="0" collapsed="false">
      <c r="A35" s="7"/>
      <c r="B35" s="7"/>
      <c r="C35" s="8"/>
      <c r="D35" s="8"/>
      <c r="E35" s="8"/>
      <c r="F35" s="8"/>
      <c r="G35" s="8"/>
      <c r="H35" s="9" t="str">
        <f aca="false">IF(COUNT(C35:G35)=5,(C35*D35)/(E35+$C$3*(F35+G35)),"")</f>
        <v/>
      </c>
      <c r="I35" s="10" t="str">
        <f aca="false">IF(H35="","",IF(H35&lt;0.15,"Sandcastle",IF(H35&lt;0.5,"Weak",IF(H35&lt;=1.5,"Durable","Seawall"))))</f>
        <v/>
      </c>
      <c r="J35" s="10" t="str">
        <f aca="false">IF(H35="","",RANK(H35,$H$6:$H$45,0))</f>
        <v/>
      </c>
      <c r="K35" s="11"/>
    </row>
    <row r="36" customFormat="false" ht="15" hidden="false" customHeight="false" outlineLevel="0" collapsed="false">
      <c r="A36" s="7"/>
      <c r="B36" s="7"/>
      <c r="C36" s="8"/>
      <c r="D36" s="8"/>
      <c r="E36" s="8"/>
      <c r="F36" s="8"/>
      <c r="G36" s="8"/>
      <c r="H36" s="9" t="str">
        <f aca="false">IF(COUNT(C36:G36)=5,(C36*D36)/(E36+$C$3*(F36+G36)),"")</f>
        <v/>
      </c>
      <c r="I36" s="10" t="str">
        <f aca="false">IF(H36="","",IF(H36&lt;0.15,"Sandcastle",IF(H36&lt;0.5,"Weak",IF(H36&lt;=1.5,"Durable","Seawall"))))</f>
        <v/>
      </c>
      <c r="J36" s="10" t="str">
        <f aca="false">IF(H36="","",RANK(H36,$H$6:$H$45,0))</f>
        <v/>
      </c>
      <c r="K36" s="11"/>
    </row>
    <row r="37" customFormat="false" ht="15" hidden="false" customHeight="false" outlineLevel="0" collapsed="false">
      <c r="A37" s="7"/>
      <c r="B37" s="7"/>
      <c r="C37" s="8"/>
      <c r="D37" s="8"/>
      <c r="E37" s="8"/>
      <c r="F37" s="8"/>
      <c r="G37" s="8"/>
      <c r="H37" s="9" t="str">
        <f aca="false">IF(COUNT(C37:G37)=5,(C37*D37)/(E37+$C$3*(F37+G37)),"")</f>
        <v/>
      </c>
      <c r="I37" s="10" t="str">
        <f aca="false">IF(H37="","",IF(H37&lt;0.15,"Sandcastle",IF(H37&lt;0.5,"Weak",IF(H37&lt;=1.5,"Durable","Seawall"))))</f>
        <v/>
      </c>
      <c r="J37" s="10" t="str">
        <f aca="false">IF(H37="","",RANK(H37,$H$6:$H$45,0))</f>
        <v/>
      </c>
      <c r="K37" s="11"/>
    </row>
    <row r="38" customFormat="false" ht="15" hidden="false" customHeight="false" outlineLevel="0" collapsed="false">
      <c r="A38" s="7"/>
      <c r="B38" s="7"/>
      <c r="C38" s="8"/>
      <c r="D38" s="8"/>
      <c r="E38" s="8"/>
      <c r="F38" s="8"/>
      <c r="G38" s="8"/>
      <c r="H38" s="9" t="str">
        <f aca="false">IF(COUNT(C38:G38)=5,(C38*D38)/(E38+$C$3*(F38+G38)),"")</f>
        <v/>
      </c>
      <c r="I38" s="10" t="str">
        <f aca="false">IF(H38="","",IF(H38&lt;0.15,"Sandcastle",IF(H38&lt;0.5,"Weak",IF(H38&lt;=1.5,"Durable","Seawall"))))</f>
        <v/>
      </c>
      <c r="J38" s="10" t="str">
        <f aca="false">IF(H38="","",RANK(H38,$H$6:$H$45,0))</f>
        <v/>
      </c>
      <c r="K38" s="11"/>
    </row>
    <row r="39" customFormat="false" ht="15" hidden="false" customHeight="false" outlineLevel="0" collapsed="false">
      <c r="A39" s="7"/>
      <c r="B39" s="7"/>
      <c r="C39" s="8"/>
      <c r="D39" s="8"/>
      <c r="E39" s="8"/>
      <c r="F39" s="8"/>
      <c r="G39" s="8"/>
      <c r="H39" s="9" t="str">
        <f aca="false">IF(COUNT(C39:G39)=5,(C39*D39)/(E39+$C$3*(F39+G39)),"")</f>
        <v/>
      </c>
      <c r="I39" s="10" t="str">
        <f aca="false">IF(H39="","",IF(H39&lt;0.15,"Sandcastle",IF(H39&lt;0.5,"Weak",IF(H39&lt;=1.5,"Durable","Seawall"))))</f>
        <v/>
      </c>
      <c r="J39" s="10" t="str">
        <f aca="false">IF(H39="","",RANK(H39,$H$6:$H$45,0))</f>
        <v/>
      </c>
      <c r="K39" s="11"/>
    </row>
    <row r="40" customFormat="false" ht="15" hidden="false" customHeight="false" outlineLevel="0" collapsed="false">
      <c r="A40" s="7"/>
      <c r="B40" s="7"/>
      <c r="C40" s="8"/>
      <c r="D40" s="8"/>
      <c r="E40" s="8"/>
      <c r="F40" s="8"/>
      <c r="G40" s="8"/>
      <c r="H40" s="9" t="str">
        <f aca="false">IF(COUNT(C40:G40)=5,(C40*D40)/(E40+$C$3*(F40+G40)),"")</f>
        <v/>
      </c>
      <c r="I40" s="10" t="str">
        <f aca="false">IF(H40="","",IF(H40&lt;0.15,"Sandcastle",IF(H40&lt;0.5,"Weak",IF(H40&lt;=1.5,"Durable","Seawall"))))</f>
        <v/>
      </c>
      <c r="J40" s="10" t="str">
        <f aca="false">IF(H40="","",RANK(H40,$H$6:$H$45,0))</f>
        <v/>
      </c>
      <c r="K40" s="11"/>
    </row>
    <row r="41" customFormat="false" ht="15" hidden="false" customHeight="false" outlineLevel="0" collapsed="false">
      <c r="A41" s="7"/>
      <c r="B41" s="7"/>
      <c r="C41" s="8"/>
      <c r="D41" s="8"/>
      <c r="E41" s="8"/>
      <c r="F41" s="8"/>
      <c r="G41" s="8"/>
      <c r="H41" s="9" t="str">
        <f aca="false">IF(COUNT(C41:G41)=5,(C41*D41)/(E41+$C$3*(F41+G41)),"")</f>
        <v/>
      </c>
      <c r="I41" s="10" t="str">
        <f aca="false">IF(H41="","",IF(H41&lt;0.15,"Sandcastle",IF(H41&lt;0.5,"Weak",IF(H41&lt;=1.5,"Durable","Seawall"))))</f>
        <v/>
      </c>
      <c r="J41" s="10" t="str">
        <f aca="false">IF(H41="","",RANK(H41,$H$6:$H$45,0))</f>
        <v/>
      </c>
      <c r="K41" s="11"/>
    </row>
    <row r="42" customFormat="false" ht="15" hidden="false" customHeight="false" outlineLevel="0" collapsed="false">
      <c r="A42" s="7"/>
      <c r="B42" s="7"/>
      <c r="C42" s="8"/>
      <c r="D42" s="8"/>
      <c r="E42" s="8"/>
      <c r="F42" s="8"/>
      <c r="G42" s="8"/>
      <c r="H42" s="9" t="str">
        <f aca="false">IF(COUNT(C42:G42)=5,(C42*D42)/(E42+$C$3*(F42+G42)),"")</f>
        <v/>
      </c>
      <c r="I42" s="10" t="str">
        <f aca="false">IF(H42="","",IF(H42&lt;0.15,"Sandcastle",IF(H42&lt;0.5,"Weak",IF(H42&lt;=1.5,"Durable","Seawall"))))</f>
        <v/>
      </c>
      <c r="J42" s="10" t="str">
        <f aca="false">IF(H42="","",RANK(H42,$H$6:$H$45,0))</f>
        <v/>
      </c>
      <c r="K42" s="11"/>
    </row>
    <row r="43" customFormat="false" ht="15" hidden="false" customHeight="false" outlineLevel="0" collapsed="false">
      <c r="A43" s="7"/>
      <c r="B43" s="7"/>
      <c r="C43" s="8"/>
      <c r="D43" s="8"/>
      <c r="E43" s="8"/>
      <c r="F43" s="8"/>
      <c r="G43" s="8"/>
      <c r="H43" s="9" t="str">
        <f aca="false">IF(COUNT(C43:G43)=5,(C43*D43)/(E43+$C$3*(F43+G43)),"")</f>
        <v/>
      </c>
      <c r="I43" s="10" t="str">
        <f aca="false">IF(H43="","",IF(H43&lt;0.15,"Sandcastle",IF(H43&lt;0.5,"Weak",IF(H43&lt;=1.5,"Durable","Seawall"))))</f>
        <v/>
      </c>
      <c r="J43" s="10" t="str">
        <f aca="false">IF(H43="","",RANK(H43,$H$6:$H$45,0))</f>
        <v/>
      </c>
      <c r="K43" s="11"/>
    </row>
    <row r="44" customFormat="false" ht="15" hidden="false" customHeight="false" outlineLevel="0" collapsed="false">
      <c r="A44" s="7"/>
      <c r="B44" s="7"/>
      <c r="C44" s="8"/>
      <c r="D44" s="8"/>
      <c r="E44" s="8"/>
      <c r="F44" s="8"/>
      <c r="G44" s="8"/>
      <c r="H44" s="9" t="str">
        <f aca="false">IF(COUNT(C44:G44)=5,(C44*D44)/(E44+$C$3*(F44+G44)),"")</f>
        <v/>
      </c>
      <c r="I44" s="10" t="str">
        <f aca="false">IF(H44="","",IF(H44&lt;0.15,"Sandcastle",IF(H44&lt;0.5,"Weak",IF(H44&lt;=1.5,"Durable","Seawall"))))</f>
        <v/>
      </c>
      <c r="J44" s="10" t="str">
        <f aca="false">IF(H44="","",RANK(H44,$H$6:$H$45,0))</f>
        <v/>
      </c>
      <c r="K44" s="11"/>
    </row>
    <row r="45" customFormat="false" ht="15" hidden="false" customHeight="false" outlineLevel="0" collapsed="false">
      <c r="A45" s="7"/>
      <c r="B45" s="7"/>
      <c r="C45" s="8"/>
      <c r="D45" s="8"/>
      <c r="E45" s="8"/>
      <c r="F45" s="8"/>
      <c r="G45" s="8"/>
      <c r="H45" s="9" t="str">
        <f aca="false">IF(COUNT(C45:G45)=5,(C45*D45)/(E45+$C$3*(F45+G45)),"")</f>
        <v/>
      </c>
      <c r="I45" s="10" t="str">
        <f aca="false">IF(H45="","",IF(H45&lt;0.15,"Sandcastle",IF(H45&lt;0.5,"Weak",IF(H45&lt;=1.5,"Durable","Seawall"))))</f>
        <v/>
      </c>
      <c r="J45" s="10" t="str">
        <f aca="false">IF(H45="","",RANK(H45,$H$6:$H$45,0))</f>
        <v/>
      </c>
      <c r="K45" s="11"/>
    </row>
    <row r="47" customFormat="false" ht="15" hidden="false" customHeight="false" outlineLevel="0" collapsed="false">
      <c r="A47" s="2" t="s">
        <v>15</v>
      </c>
    </row>
  </sheetData>
  <conditionalFormatting sqref="I6:I45">
    <cfRule type="cellIs" priority="2" operator="equal" aboveAverage="0" equalAverage="0" bottom="0" percent="0" rank="0" text="" dxfId="0">
      <formula>"Sandcastle"</formula>
    </cfRule>
    <cfRule type="cellIs" priority="3" operator="equal" aboveAverage="0" equalAverage="0" bottom="0" percent="0" rank="0" text="" dxfId="1">
      <formula>"Weak"</formula>
    </cfRule>
    <cfRule type="cellIs" priority="4" operator="equal" aboveAverage="0" equalAverage="0" bottom="0" percent="0" rank="0" text="" dxfId="2">
      <formula>"Durable"</formula>
    </cfRule>
    <cfRule type="cellIs" priority="5" operator="equal" aboveAverage="0" equalAverage="0" bottom="0" percent="0" rank="0" text="" dxfId="3">
      <formula>"Seawall"</formula>
    </cfRule>
  </conditionalFormatting>
  <dataValidations count="1">
    <dataValidation allowBlank="true" error="Enter a number from 1 to 5." errorStyle="stop" errorTitle="1 to 5" operator="between" showDropDown="false" showErrorMessage="true" showInputMessage="false" sqref="C6:G45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1"/>
    <col collapsed="false" customWidth="true" hidden="false" outlineLevel="0" max="6" min="4" style="0" width="9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2" t="s">
        <v>16</v>
      </c>
    </row>
    <row r="2" customFormat="false" ht="15" hidden="false" customHeight="false" outlineLevel="0" collapsed="false">
      <c r="A2" s="2" t="s">
        <v>17</v>
      </c>
    </row>
    <row r="4" customFormat="false" ht="26.85" hidden="false" customHeight="false" outlineLevel="0" collapsed="false">
      <c r="A4" s="13" t="s">
        <v>18</v>
      </c>
      <c r="B4" s="13" t="s">
        <v>6</v>
      </c>
      <c r="C4" s="13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3" t="s">
        <v>12</v>
      </c>
      <c r="I4" s="13" t="s">
        <v>19</v>
      </c>
      <c r="J4" s="13" t="s">
        <v>20</v>
      </c>
    </row>
    <row r="5" customFormat="false" ht="15" hidden="false" customHeight="false" outlineLevel="0" collapsed="false">
      <c r="A5" s="7" t="s">
        <v>21</v>
      </c>
      <c r="B5" s="11" t="n">
        <v>4</v>
      </c>
      <c r="C5" s="11" t="n">
        <v>5</v>
      </c>
      <c r="D5" s="11" t="n">
        <v>2</v>
      </c>
      <c r="E5" s="11" t="n">
        <v>1</v>
      </c>
      <c r="F5" s="11" t="n">
        <v>1</v>
      </c>
      <c r="G5" s="9" t="n">
        <f aca="false">(B5*C5)/(D5+'Score your plan'!$C$3*(E5+F5))</f>
        <v>2.5</v>
      </c>
      <c r="H5" s="10" t="str">
        <f aca="false">IF(G5&lt;0.15,"Sandcastle",IF(G5&lt;0.5,"Weak",IF(G5&lt;=1.5,"Durable","Seawall")))</f>
        <v>Seawall</v>
      </c>
      <c r="I5" s="10" t="s">
        <v>22</v>
      </c>
      <c r="J5" s="10" t="str">
        <f aca="false">IF(H5=I5,"OK","CHECK")</f>
        <v>OK</v>
      </c>
    </row>
    <row r="6" customFormat="false" ht="15" hidden="false" customHeight="false" outlineLevel="0" collapsed="false">
      <c r="A6" s="7" t="s">
        <v>23</v>
      </c>
      <c r="B6" s="11" t="n">
        <v>4</v>
      </c>
      <c r="C6" s="11" t="n">
        <v>5</v>
      </c>
      <c r="D6" s="11" t="n">
        <v>5</v>
      </c>
      <c r="E6" s="11" t="n">
        <v>3</v>
      </c>
      <c r="F6" s="11" t="n">
        <v>2</v>
      </c>
      <c r="G6" s="9" t="n">
        <f aca="false">(B6*C6)/(D6+'Score your plan'!$C$3*(E6+F6))</f>
        <v>1</v>
      </c>
      <c r="H6" s="10" t="str">
        <f aca="false">IF(G6&lt;0.15,"Sandcastle",IF(G6&lt;0.5,"Weak",IF(G6&lt;=1.5,"Durable","Seawall")))</f>
        <v>Durable</v>
      </c>
      <c r="I6" s="10" t="s">
        <v>24</v>
      </c>
      <c r="J6" s="10" t="str">
        <f aca="false">IF(H6=I6,"OK","CHECK")</f>
        <v>OK</v>
      </c>
    </row>
    <row r="7" customFormat="false" ht="15" hidden="false" customHeight="false" outlineLevel="0" collapsed="false">
      <c r="A7" s="7" t="s">
        <v>25</v>
      </c>
      <c r="B7" s="11" t="n">
        <v>1</v>
      </c>
      <c r="C7" s="11" t="n">
        <v>5</v>
      </c>
      <c r="D7" s="11" t="n">
        <v>1</v>
      </c>
      <c r="E7" s="11" t="n">
        <v>1</v>
      </c>
      <c r="F7" s="11" t="n">
        <v>1</v>
      </c>
      <c r="G7" s="9" t="n">
        <f aca="false">(B7*C7)/(D7+'Score your plan'!$C$3*(E7+F7))</f>
        <v>0.714285714285714</v>
      </c>
      <c r="H7" s="10" t="str">
        <f aca="false">IF(G7&lt;0.15,"Sandcastle",IF(G7&lt;0.5,"Weak",IF(G7&lt;=1.5,"Durable","Seawall")))</f>
        <v>Durable</v>
      </c>
      <c r="I7" s="10" t="s">
        <v>24</v>
      </c>
      <c r="J7" s="10" t="str">
        <f aca="false">IF(H7=I7,"OK","CHECK")</f>
        <v>OK</v>
      </c>
    </row>
    <row r="8" customFormat="false" ht="15" hidden="false" customHeight="false" outlineLevel="0" collapsed="false">
      <c r="A8" s="7" t="s">
        <v>26</v>
      </c>
      <c r="B8" s="11" t="n">
        <v>1</v>
      </c>
      <c r="C8" s="11" t="n">
        <v>2</v>
      </c>
      <c r="D8" s="11" t="n">
        <v>4</v>
      </c>
      <c r="E8" s="11" t="n">
        <v>4</v>
      </c>
      <c r="F8" s="11" t="n">
        <v>5</v>
      </c>
      <c r="G8" s="9" t="n">
        <f aca="false">(B8*C8)/(D8+'Score your plan'!$C$3*(E8+F8))</f>
        <v>0.0645161290322581</v>
      </c>
      <c r="H8" s="10" t="str">
        <f aca="false">IF(G8&lt;0.15,"Sandcastle",IF(G8&lt;0.5,"Weak",IF(G8&lt;=1.5,"Durable","Seawall")))</f>
        <v>Sandcastle</v>
      </c>
      <c r="I8" s="10" t="s">
        <v>27</v>
      </c>
      <c r="J8" s="10" t="str">
        <f aca="false">IF(H8=I8,"OK","CHECK")</f>
        <v>OK</v>
      </c>
    </row>
    <row r="9" customFormat="false" ht="15" hidden="false" customHeight="false" outlineLevel="0" collapsed="false">
      <c r="A9" s="7" t="s">
        <v>28</v>
      </c>
      <c r="B9" s="11" t="n">
        <v>1</v>
      </c>
      <c r="C9" s="11" t="n">
        <v>1</v>
      </c>
      <c r="D9" s="11" t="n">
        <v>2</v>
      </c>
      <c r="E9" s="11" t="n">
        <v>4</v>
      </c>
      <c r="F9" s="11" t="n">
        <v>2</v>
      </c>
      <c r="G9" s="9" t="n">
        <f aca="false">(B9*C9)/(D9+'Score your plan'!$C$3*(E9+F9))</f>
        <v>0.05</v>
      </c>
      <c r="H9" s="10" t="str">
        <f aca="false">IF(G9&lt;0.15,"Sandcastle",IF(G9&lt;0.5,"Weak",IF(G9&lt;=1.5,"Durable","Seawall")))</f>
        <v>Sandcastle</v>
      </c>
      <c r="I9" s="10" t="s">
        <v>27</v>
      </c>
      <c r="J9" s="10" t="str">
        <f aca="false">IF(H9=I9,"OK","CHECK")</f>
        <v>OK</v>
      </c>
    </row>
    <row r="11" customFormat="false" ht="15" hidden="false" customHeight="false" outlineLevel="0" collapsed="false">
      <c r="A11" s="2" t="s">
        <v>29</v>
      </c>
    </row>
  </sheetData>
  <conditionalFormatting sqref="J5:J9">
    <cfRule type="cellIs" priority="2" operator="equal" aboveAverage="0" equalAverage="0" bottom="0" percent="0" rank="0" text="" dxfId="0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2026-10-28T16:11:46Z</dcterms:created>
  <dc:creator>openpyxl</dc:creator>
  <dc:description/>
  <dc:language>en-US</dc:language>
  <cp:lastModifiedBy/>
  <dcterms:modified xsi:type="dcterms:W3CDTF">2026-10-28T16:11:46Z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